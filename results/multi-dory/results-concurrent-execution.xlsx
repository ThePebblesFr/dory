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<sst xmlns="http://schemas.openxmlformats.org/spreadsheetml/2006/main" count="13" uniqueCount="13">
  <si>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model</t>
  </si>
  <si>
    <t xml:space="preserve">F cores (MHz)</t>
  </si>
  <si>
    <t xml:space="preserve">L2 size (kB)</t>
  </si>
  <si>
    <t xml:space="preserve">L1 size (kB)</t>
  </si>
  <si>
    <t xml:space="preserve"># cores</t>
  </si>
  <si>
    <t xml:space="preserve"># loading cycles</t>
  </si>
  <si>
    <t xml:space="preserve"># executing cycles</t>
  </si>
  <si>
    <t xml:space="preserve"># cycles</t>
  </si>
  <si>
    <t xml:space="preserve">latency (ms)</t>
  </si>
  <si>
    <t>Dronet</t>
  </si>
  <si>
    <t xml:space="preserve">MobileNetV2 (8 bits)</t>
  </si>
  <si>
    <t xml:space="preserve">MobileNetV2 (4 bits)</t>
  </si>
  <si>
    <t xml:space="preserve">Penguinet 32 bits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</si>
</sst>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/>
    <xf fontId="0" fillId="2" borderId="0" numFmtId="0" xfId="0" applyFill="1"/>
    <xf fontId="0" fillId="3" borderId="0" numFmtId="0" xfId="0" applyFill="1"/>
    <xf fontId="0" fillId="3" borderId="0" numFmtId="0" xfId="0" applyFill="1"/>
    <xf fontId="0" fillId="3" borderId="0" numFmtId="164" xfId="0" applyNumberFormat="1" applyFill="1"/>
    <xf fontId="0" fillId="3" borderId="0" numFmtId="0" xfId="0" applyFill="1"/>
    <xf fontId="0" fillId="3" borderId="0" numFmtId="0" xfId="0" applyFill="1"/>
    <xf fontId="0" fillId="0" borderId="0" numFmtId="0" xfId="0"/>
    <xf fontId="0" fillId="0" borderId="0" numFmtId="0" xfId="0"/>
    <xf fontId="0" fillId="0" borderId="0" numFmtId="164" xfId="0" applyNumberFormat="1"/>
    <xf fontId="0" fillId="0" borderId="0" numFmtId="0" xfId="0">
      <protection hidden="0" locked="1"/>
    </xf>
    <xf fontId="0" fillId="3" borderId="0" numFmtId="0" xfId="0" applyFill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8.18359375"/>
    <col bestFit="1" min="2" max="2" width="12.55078125"/>
    <col bestFit="1" min="3" max="4" width="10.26171875"/>
    <col bestFit="1" min="5" max="5" width="6.9140625"/>
    <col bestFit="1" min="6" max="6" width="14.1015625"/>
    <col bestFit="1" min="7" max="7" width="16.140625"/>
    <col customWidth="1" min="8" max="8" width="13.7109375"/>
    <col bestFit="1" min="9" max="9" width="11.2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="2" customFormat="1" ht="14.25">
      <c r="A2" s="3" t="s">
        <v>9</v>
      </c>
      <c r="B2" s="3">
        <v>100</v>
      </c>
      <c r="C2" s="3">
        <v>512</v>
      </c>
      <c r="D2" s="3">
        <v>64</v>
      </c>
      <c r="E2" s="3">
        <v>8</v>
      </c>
      <c r="F2" s="4">
        <v>10754876</v>
      </c>
      <c r="G2" s="4">
        <v>8214121</v>
      </c>
      <c r="H2" s="3">
        <f>F2+G2</f>
        <v>18968997</v>
      </c>
      <c r="I2" s="5">
        <f>H2/(B2*1000000)*1000</f>
        <v>189.68997000000002</v>
      </c>
      <c r="J2" s="2">
        <f>I2*2</f>
        <v>379.37994000000003</v>
      </c>
      <c r="K2" s="2"/>
      <c r="L2" s="2"/>
      <c r="M2" s="2"/>
      <c r="N2" s="2"/>
    </row>
    <row r="3" ht="14.25">
      <c r="A3" s="6" t="s">
        <v>9</v>
      </c>
      <c r="B3" s="7">
        <v>100</v>
      </c>
      <c r="C3" s="3">
        <v>512</v>
      </c>
      <c r="D3" s="3">
        <v>64</v>
      </c>
      <c r="E3" s="3">
        <v>6</v>
      </c>
      <c r="F3" s="4">
        <v>10778933</v>
      </c>
      <c r="G3" s="4">
        <v>14619874</v>
      </c>
      <c r="H3" s="3">
        <f>F3+G3</f>
        <v>25398807</v>
      </c>
      <c r="I3" s="5">
        <f>H3/(B3*1000000)*1000</f>
        <v>253.98807000000002</v>
      </c>
    </row>
    <row r="4" ht="14.25">
      <c r="A4" s="6" t="s">
        <v>9</v>
      </c>
      <c r="B4" s="7">
        <v>100</v>
      </c>
      <c r="C4" s="3">
        <v>512</v>
      </c>
      <c r="D4" s="3">
        <v>64</v>
      </c>
      <c r="E4" s="3">
        <v>4</v>
      </c>
      <c r="F4" s="4">
        <v>10754800</v>
      </c>
      <c r="G4" s="4">
        <v>14229686</v>
      </c>
      <c r="H4" s="3">
        <f>F4+G4</f>
        <v>24984486</v>
      </c>
      <c r="I4" s="5">
        <f>H4/(B4*1000000)*1000</f>
        <v>249.84486000000001</v>
      </c>
    </row>
    <row r="5" ht="14.25">
      <c r="A5" s="6" t="s">
        <v>9</v>
      </c>
      <c r="B5" s="7">
        <v>100</v>
      </c>
      <c r="C5" s="3">
        <v>512</v>
      </c>
      <c r="D5" s="3">
        <v>64</v>
      </c>
      <c r="E5" s="3">
        <v>2</v>
      </c>
      <c r="F5" s="4">
        <v>10754776</v>
      </c>
      <c r="G5" s="4">
        <v>26724534</v>
      </c>
      <c r="H5" s="3">
        <f>F5+G5</f>
        <v>37479310</v>
      </c>
      <c r="I5" s="5">
        <f>H5/(B5*1000000)*1000</f>
        <v>374.79309999999998</v>
      </c>
    </row>
    <row r="6" ht="14.25">
      <c r="A6" s="8" t="s">
        <v>9</v>
      </c>
      <c r="B6" s="9">
        <v>100</v>
      </c>
      <c r="C6">
        <v>512</v>
      </c>
      <c r="D6">
        <v>56</v>
      </c>
      <c r="E6">
        <v>8</v>
      </c>
      <c r="F6" s="1">
        <v>10754313</v>
      </c>
      <c r="G6" s="1">
        <v>11322638</v>
      </c>
      <c r="H6">
        <f>F6+G6</f>
        <v>22076951</v>
      </c>
      <c r="I6" s="10">
        <f>H6/(B6*1000000)*1000</f>
        <v>220.76951</v>
      </c>
    </row>
    <row r="7" ht="14.25">
      <c r="A7" s="8" t="s">
        <v>9</v>
      </c>
      <c r="B7" s="9">
        <v>100</v>
      </c>
      <c r="C7">
        <v>512</v>
      </c>
      <c r="D7">
        <v>56</v>
      </c>
      <c r="E7">
        <v>6</v>
      </c>
      <c r="F7" s="1">
        <v>10753936</v>
      </c>
      <c r="G7" s="1">
        <v>18859439</v>
      </c>
      <c r="H7">
        <f>F7+G7</f>
        <v>29613375</v>
      </c>
      <c r="I7" s="10">
        <f>H7/(B7*1000000)*1000</f>
        <v>296.13374999999996</v>
      </c>
    </row>
    <row r="8" ht="14.25">
      <c r="A8" s="8" t="s">
        <v>9</v>
      </c>
      <c r="B8" s="9">
        <v>100</v>
      </c>
      <c r="C8">
        <v>512</v>
      </c>
      <c r="D8">
        <v>56</v>
      </c>
      <c r="E8">
        <v>4</v>
      </c>
      <c r="F8" s="1">
        <v>10754803</v>
      </c>
      <c r="G8" s="1">
        <v>18465105</v>
      </c>
      <c r="H8">
        <f>F8+G8</f>
        <v>29219908</v>
      </c>
      <c r="I8" s="10">
        <f>H8/(B8*1000000)*1000</f>
        <v>292.19907999999998</v>
      </c>
    </row>
    <row r="9" ht="14.25">
      <c r="A9" s="8" t="s">
        <v>9</v>
      </c>
      <c r="B9" s="9">
        <v>100</v>
      </c>
      <c r="C9">
        <v>512</v>
      </c>
      <c r="D9">
        <v>56</v>
      </c>
      <c r="E9">
        <v>2</v>
      </c>
      <c r="F9" s="1">
        <v>10754293</v>
      </c>
      <c r="G9" s="1">
        <v>33734429</v>
      </c>
      <c r="H9">
        <f>F9+G9</f>
        <v>44488722</v>
      </c>
      <c r="I9" s="10">
        <f>H9/(B9*1000000)*1000</f>
        <v>444.88722000000001</v>
      </c>
    </row>
    <row r="10" s="0" customFormat="1" ht="14.25">
      <c r="A10" s="6" t="s">
        <v>9</v>
      </c>
      <c r="B10" s="7">
        <v>100</v>
      </c>
      <c r="C10" s="3">
        <v>256</v>
      </c>
      <c r="D10" s="3">
        <v>64</v>
      </c>
      <c r="E10" s="3">
        <v>8</v>
      </c>
      <c r="F10" s="4">
        <v>6271897</v>
      </c>
      <c r="G10" s="4">
        <v>10472827</v>
      </c>
      <c r="H10" s="3">
        <f>F10+G10</f>
        <v>16744724</v>
      </c>
      <c r="I10" s="5">
        <f>H10/(B10*1000000)*1000</f>
        <v>167.44723999999999</v>
      </c>
      <c r="K10"/>
      <c r="L10"/>
      <c r="M10"/>
      <c r="N10" s="11"/>
    </row>
    <row r="11" ht="14.25">
      <c r="A11" s="6" t="s">
        <v>9</v>
      </c>
      <c r="B11" s="7">
        <v>100</v>
      </c>
      <c r="C11" s="3">
        <v>256</v>
      </c>
      <c r="D11" s="3">
        <v>64</v>
      </c>
      <c r="E11" s="3">
        <v>6</v>
      </c>
      <c r="F11" s="4">
        <v>6271758</v>
      </c>
      <c r="G11" s="4">
        <v>17575381</v>
      </c>
      <c r="H11" s="3">
        <f>F11+G11</f>
        <v>23847139</v>
      </c>
      <c r="I11" s="5">
        <f>H11/(B11*1000000)*1000</f>
        <v>238.47139000000001</v>
      </c>
    </row>
    <row r="12" s="2" customFormat="1" ht="14.25">
      <c r="A12" s="6" t="s">
        <v>9</v>
      </c>
      <c r="B12" s="7">
        <v>100</v>
      </c>
      <c r="C12" s="3">
        <v>256</v>
      </c>
      <c r="D12" s="3">
        <v>64</v>
      </c>
      <c r="E12" s="3">
        <v>4</v>
      </c>
      <c r="F12" s="4">
        <v>6271932</v>
      </c>
      <c r="G12" s="4">
        <v>17984199</v>
      </c>
      <c r="H12" s="3">
        <f>F12+G12</f>
        <v>24256131</v>
      </c>
      <c r="I12" s="5">
        <f>H12/(B12*1000000)*1000</f>
        <v>242.56130999999999</v>
      </c>
    </row>
    <row r="13" ht="14.25">
      <c r="A13" s="6" t="s">
        <v>9</v>
      </c>
      <c r="B13" s="7">
        <v>100</v>
      </c>
      <c r="C13" s="3">
        <v>256</v>
      </c>
      <c r="D13" s="3">
        <v>64</v>
      </c>
      <c r="E13" s="3">
        <v>2</v>
      </c>
      <c r="F13" s="4">
        <v>6272146</v>
      </c>
      <c r="G13" s="4">
        <v>27978532</v>
      </c>
      <c r="H13" s="3">
        <f>F13+G13</f>
        <v>34250678</v>
      </c>
      <c r="I13" s="5">
        <f>H13/(B13*1000000)*1000</f>
        <v>342.50677999999999</v>
      </c>
    </row>
    <row r="14" ht="14.25">
      <c r="A14" s="8" t="s">
        <v>9</v>
      </c>
      <c r="B14" s="9">
        <v>100</v>
      </c>
      <c r="C14">
        <v>256</v>
      </c>
      <c r="D14">
        <v>56</v>
      </c>
      <c r="E14">
        <v>8</v>
      </c>
      <c r="F14" s="1">
        <v>6272288</v>
      </c>
      <c r="G14" s="1">
        <v>13122509</v>
      </c>
      <c r="H14">
        <f>F14+G14</f>
        <v>19394797</v>
      </c>
      <c r="I14" s="10">
        <f>H14/(B14*1000000)*1000</f>
        <v>193.94797</v>
      </c>
    </row>
    <row r="15" ht="14.25">
      <c r="A15" s="8" t="s">
        <v>9</v>
      </c>
      <c r="B15" s="9">
        <v>100</v>
      </c>
      <c r="C15">
        <v>256</v>
      </c>
      <c r="D15">
        <v>56</v>
      </c>
      <c r="E15">
        <v>6</v>
      </c>
      <c r="F15" s="1">
        <v>6272354</v>
      </c>
      <c r="G15" s="1">
        <v>21680760</v>
      </c>
      <c r="H15">
        <f>F15+G15</f>
        <v>27953114</v>
      </c>
      <c r="I15" s="10">
        <f>H15/(B15*1000000)*1000</f>
        <v>279.53113999999999</v>
      </c>
    </row>
    <row r="16" ht="14.25">
      <c r="A16" s="8" t="s">
        <v>9</v>
      </c>
      <c r="B16" s="9">
        <v>100</v>
      </c>
      <c r="C16">
        <v>256</v>
      </c>
      <c r="D16">
        <v>56</v>
      </c>
      <c r="E16">
        <v>4</v>
      </c>
      <c r="F16" s="1">
        <v>6272005</v>
      </c>
      <c r="G16" s="1">
        <v>22100442</v>
      </c>
      <c r="H16">
        <f>F16+G16</f>
        <v>28372447</v>
      </c>
      <c r="I16" s="10">
        <f>H16/(B16*1000000)*1000</f>
        <v>283.72447</v>
      </c>
    </row>
    <row r="17" ht="14.25">
      <c r="A17" s="8" t="s">
        <v>9</v>
      </c>
      <c r="B17" s="9">
        <v>100</v>
      </c>
      <c r="C17">
        <v>256</v>
      </c>
      <c r="D17">
        <v>56</v>
      </c>
      <c r="E17">
        <v>2</v>
      </c>
      <c r="F17" s="1">
        <v>6271820</v>
      </c>
      <c r="G17" s="1">
        <v>35185670</v>
      </c>
      <c r="H17">
        <f>F17+G17</f>
        <v>41457490</v>
      </c>
      <c r="I17" s="10">
        <f>H17/(B17*1000000)*1000</f>
        <v>414.57490000000001</v>
      </c>
    </row>
    <row r="18" s="2" customFormat="1" ht="14.25">
      <c r="A18" s="3" t="s">
        <v>10</v>
      </c>
      <c r="B18" s="3">
        <v>100</v>
      </c>
      <c r="C18" s="12">
        <v>512</v>
      </c>
      <c r="D18" s="12">
        <v>64</v>
      </c>
      <c r="E18" s="12">
        <v>8</v>
      </c>
      <c r="F18" s="3">
        <v>69787852</v>
      </c>
      <c r="G18" s="3">
        <v>59121620</v>
      </c>
      <c r="H18" s="3">
        <f>F18+G18</f>
        <v>128909472</v>
      </c>
      <c r="I18" s="5">
        <f>H18/(B18*1000000)*1000</f>
        <v>1289.0947200000001</v>
      </c>
    </row>
    <row r="19" ht="14.25">
      <c r="A19" s="6" t="s">
        <v>10</v>
      </c>
      <c r="B19" s="3">
        <v>100</v>
      </c>
      <c r="C19" s="12">
        <v>512</v>
      </c>
      <c r="D19" s="12">
        <v>64</v>
      </c>
      <c r="E19" s="12">
        <v>6</v>
      </c>
      <c r="F19" s="3">
        <v>69786869</v>
      </c>
      <c r="G19" s="3">
        <v>105463031</v>
      </c>
      <c r="H19" s="3">
        <f>F19+G19</f>
        <v>175249900</v>
      </c>
      <c r="I19" s="5">
        <f>H19/(B19*1000000)*1000</f>
        <v>1752.499</v>
      </c>
    </row>
    <row r="20" ht="14.25">
      <c r="A20" s="6" t="s">
        <v>10</v>
      </c>
      <c r="B20" s="3">
        <v>100</v>
      </c>
      <c r="C20" s="12">
        <v>512</v>
      </c>
      <c r="D20" s="12">
        <v>64</v>
      </c>
      <c r="E20" s="12">
        <v>4</v>
      </c>
      <c r="F20" s="3">
        <v>69783680</v>
      </c>
      <c r="G20" s="3">
        <v>101851069</v>
      </c>
      <c r="H20" s="3">
        <f>F20+G20</f>
        <v>171634749</v>
      </c>
      <c r="I20" s="5">
        <f>H20/(B20*1000000)*1000</f>
        <v>1716.3474899999999</v>
      </c>
    </row>
    <row r="21" ht="14.25">
      <c r="A21" s="6" t="s">
        <v>10</v>
      </c>
      <c r="B21" s="3">
        <v>100</v>
      </c>
      <c r="C21" s="12">
        <v>512</v>
      </c>
      <c r="D21" s="12">
        <v>64</v>
      </c>
      <c r="E21" s="12">
        <v>2</v>
      </c>
      <c r="F21" s="3">
        <v>69784920</v>
      </c>
      <c r="G21" s="3">
        <v>176273142</v>
      </c>
      <c r="H21" s="3">
        <f>F21+G21</f>
        <v>246058062</v>
      </c>
      <c r="I21" s="5">
        <f>H21/(B21*1000000)*1000</f>
        <v>2460.5806200000002</v>
      </c>
      <c r="L21">
        <v>189.69999999999999</v>
      </c>
      <c r="M21">
        <v>242.59999999999999</v>
      </c>
    </row>
    <row r="22" ht="14.25">
      <c r="A22" s="8" t="s">
        <v>10</v>
      </c>
      <c r="B22">
        <v>100</v>
      </c>
      <c r="C22" s="11">
        <v>512</v>
      </c>
      <c r="D22" s="11">
        <v>56</v>
      </c>
      <c r="E22" s="11">
        <v>8</v>
      </c>
      <c r="F22">
        <v>69788238</v>
      </c>
      <c r="G22">
        <v>70930554</v>
      </c>
      <c r="H22">
        <f>F22+G22</f>
        <v>140718792</v>
      </c>
      <c r="I22" s="10">
        <f>H22/(B22*1000000)*1000</f>
        <v>1407.1879199999998</v>
      </c>
      <c r="L22">
        <v>100</v>
      </c>
      <c r="M22">
        <f>L22*M21/L21</f>
        <v>127.88613600421719</v>
      </c>
    </row>
    <row r="23" ht="14.25">
      <c r="A23" s="8" t="s">
        <v>10</v>
      </c>
      <c r="B23">
        <v>100</v>
      </c>
      <c r="C23" s="11">
        <v>512</v>
      </c>
      <c r="D23" s="11">
        <v>56</v>
      </c>
      <c r="E23" s="11">
        <v>6</v>
      </c>
      <c r="F23">
        <v>69786063</v>
      </c>
      <c r="G23">
        <v>114236905</v>
      </c>
      <c r="H23">
        <f>F23+G23</f>
        <v>184022968</v>
      </c>
      <c r="I23" s="10">
        <f>H23/(B23*1000000)*1000</f>
        <v>1840.2296799999999</v>
      </c>
    </row>
    <row r="24" ht="14.25">
      <c r="A24" s="8" t="s">
        <v>10</v>
      </c>
      <c r="B24">
        <v>100</v>
      </c>
      <c r="C24" s="11">
        <v>512</v>
      </c>
      <c r="D24" s="11">
        <v>56</v>
      </c>
      <c r="E24" s="11">
        <v>4</v>
      </c>
      <c r="F24">
        <v>69785977</v>
      </c>
      <c r="G24">
        <v>115582649</v>
      </c>
      <c r="H24">
        <f>F24+G24</f>
        <v>185368626</v>
      </c>
      <c r="I24" s="10">
        <f>H24/(B24*1000000)*1000</f>
        <v>1853.6862599999999</v>
      </c>
    </row>
    <row r="25" ht="14.25">
      <c r="A25" s="8" t="s">
        <v>10</v>
      </c>
      <c r="B25">
        <v>100</v>
      </c>
      <c r="C25" s="11">
        <v>512</v>
      </c>
      <c r="D25" s="11">
        <v>56</v>
      </c>
      <c r="E25" s="11">
        <v>2</v>
      </c>
      <c r="F25">
        <v>69786999</v>
      </c>
      <c r="G25">
        <v>188710269</v>
      </c>
      <c r="H25">
        <f>F25+G25</f>
        <v>258497268</v>
      </c>
      <c r="I25" s="10">
        <f>H25/(B25*1000000)*1000</f>
        <v>2584.9726799999999</v>
      </c>
    </row>
    <row r="26" ht="14.25">
      <c r="A26" s="6" t="s">
        <v>10</v>
      </c>
      <c r="B26" s="3">
        <v>100</v>
      </c>
      <c r="C26" s="12">
        <v>384</v>
      </c>
      <c r="D26" s="12">
        <v>64</v>
      </c>
      <c r="E26" s="12">
        <v>8</v>
      </c>
      <c r="F26" s="3">
        <v>65068026</v>
      </c>
      <c r="G26" s="3">
        <v>73317833</v>
      </c>
      <c r="H26" s="3">
        <f>F26+G26</f>
        <v>138385859</v>
      </c>
      <c r="I26" s="5">
        <f>H26/(B26*1000000)*1000</f>
        <v>1383.85859</v>
      </c>
    </row>
    <row r="27" s="2" customFormat="1" ht="14.25">
      <c r="A27" s="6" t="s">
        <v>10</v>
      </c>
      <c r="B27" s="3">
        <v>100</v>
      </c>
      <c r="C27" s="12">
        <v>384</v>
      </c>
      <c r="D27" s="12">
        <v>64</v>
      </c>
      <c r="E27" s="12">
        <v>6</v>
      </c>
      <c r="F27" s="3">
        <v>65068948</v>
      </c>
      <c r="G27" s="3">
        <v>105957271</v>
      </c>
      <c r="H27" s="3">
        <f>F27+G27</f>
        <v>171026219</v>
      </c>
      <c r="I27" s="5">
        <f>H27/(B27*1000000)*1000</f>
        <v>1710.2621899999999</v>
      </c>
    </row>
    <row r="28" s="0" customFormat="1" ht="14.25">
      <c r="A28" s="6" t="s">
        <v>10</v>
      </c>
      <c r="B28" s="3">
        <v>100</v>
      </c>
      <c r="C28" s="12">
        <v>384</v>
      </c>
      <c r="D28" s="12">
        <v>64</v>
      </c>
      <c r="E28" s="12">
        <v>4</v>
      </c>
      <c r="F28" s="3">
        <v>65065914</v>
      </c>
      <c r="G28" s="3">
        <v>114486942</v>
      </c>
      <c r="H28" s="3">
        <f>F28+G28</f>
        <v>179552856</v>
      </c>
      <c r="I28" s="5">
        <f>H28/(B28*1000000)*1000</f>
        <v>1795.52856</v>
      </c>
    </row>
    <row r="29" ht="14.25">
      <c r="A29" s="6" t="s">
        <v>10</v>
      </c>
      <c r="B29" s="3">
        <v>100</v>
      </c>
      <c r="C29" s="12">
        <v>384</v>
      </c>
      <c r="D29" s="12">
        <v>64</v>
      </c>
      <c r="E29" s="12">
        <v>2</v>
      </c>
      <c r="F29" s="3">
        <v>65066204</v>
      </c>
      <c r="G29" s="3">
        <v>186007528</v>
      </c>
      <c r="H29" s="3">
        <f>F29+G29</f>
        <v>251073732</v>
      </c>
      <c r="I29" s="5">
        <f>H29/(B29*1000000)*1000</f>
        <v>2510.7373200000002</v>
      </c>
    </row>
    <row r="30" ht="14.25">
      <c r="A30" s="8" t="s">
        <v>10</v>
      </c>
      <c r="B30">
        <v>100</v>
      </c>
      <c r="C30" s="11">
        <v>384</v>
      </c>
      <c r="D30" s="11">
        <v>56</v>
      </c>
      <c r="E30" s="11">
        <v>8</v>
      </c>
      <c r="F30">
        <v>65066583</v>
      </c>
      <c r="G30">
        <v>85503530</v>
      </c>
      <c r="H30">
        <f>F30+G30</f>
        <v>150570113</v>
      </c>
      <c r="I30" s="10">
        <f>H30/(B30*1000000)*1000</f>
        <v>1505.7011300000001</v>
      </c>
      <c r="L30">
        <v>1289.0999999999999</v>
      </c>
      <c r="M30">
        <v>1710.3</v>
      </c>
    </row>
    <row r="31" ht="14.25">
      <c r="A31" s="8" t="s">
        <v>10</v>
      </c>
      <c r="B31">
        <v>100</v>
      </c>
      <c r="C31" s="11">
        <v>384</v>
      </c>
      <c r="D31" s="11">
        <v>56</v>
      </c>
      <c r="E31" s="11">
        <v>6</v>
      </c>
      <c r="F31">
        <v>65067538</v>
      </c>
      <c r="G31">
        <v>113661219</v>
      </c>
      <c r="H31">
        <f>F31+G31</f>
        <v>178728757</v>
      </c>
      <c r="I31" s="10">
        <f>H31/(B31*1000000)*1000</f>
        <v>1787.28757</v>
      </c>
      <c r="L31">
        <v>100</v>
      </c>
      <c r="M31">
        <f>L31*M30/L30</f>
        <v>132.67395857575053</v>
      </c>
    </row>
    <row r="32" ht="14.25">
      <c r="A32" s="8" t="s">
        <v>10</v>
      </c>
      <c r="B32">
        <v>100</v>
      </c>
      <c r="C32" s="11">
        <v>384</v>
      </c>
      <c r="D32" s="11">
        <v>56</v>
      </c>
      <c r="E32" s="11">
        <v>4</v>
      </c>
      <c r="F32">
        <v>65064938</v>
      </c>
      <c r="G32">
        <v>128082159</v>
      </c>
      <c r="H32">
        <f>F32+G32</f>
        <v>193147097</v>
      </c>
      <c r="I32" s="10">
        <f>H32/(B32*1000000)*1000</f>
        <v>1931.4709699999999</v>
      </c>
    </row>
    <row r="33" ht="14.25">
      <c r="A33" s="8" t="s">
        <v>10</v>
      </c>
      <c r="B33">
        <v>100</v>
      </c>
      <c r="C33" s="11">
        <v>384</v>
      </c>
      <c r="D33" s="11">
        <v>56</v>
      </c>
      <c r="E33" s="11">
        <v>2</v>
      </c>
      <c r="F33">
        <v>65065200</v>
      </c>
      <c r="G33">
        <v>197710721</v>
      </c>
      <c r="H33">
        <f>F33+G33</f>
        <v>262775921</v>
      </c>
      <c r="I33" s="10">
        <f>H33/(B33*1000000)*1000</f>
        <v>2627.7592099999997</v>
      </c>
    </row>
    <row r="34" ht="14.25">
      <c r="A34" s="8" t="s">
        <v>11</v>
      </c>
      <c r="B34" s="11">
        <v>100</v>
      </c>
      <c r="C34" s="11">
        <v>512</v>
      </c>
      <c r="D34" s="11">
        <v>64</v>
      </c>
      <c r="E34" s="11">
        <v>8</v>
      </c>
      <c r="F34">
        <v>57335844</v>
      </c>
      <c r="G34">
        <v>124151072</v>
      </c>
      <c r="H34">
        <f>F34+G34</f>
        <v>181486916</v>
      </c>
      <c r="I34" s="10">
        <f>H34/(B34*1000000)*1000</f>
        <v>1814.86916</v>
      </c>
      <c r="L34" s="10">
        <f>I18+I50</f>
        <v>1391.8403499999999</v>
      </c>
    </row>
    <row r="35" ht="14.25">
      <c r="A35" s="8" t="s">
        <v>11</v>
      </c>
      <c r="B35" s="11">
        <v>100</v>
      </c>
      <c r="C35" s="11">
        <v>512</v>
      </c>
      <c r="D35" s="11">
        <v>64</v>
      </c>
      <c r="E35" s="11">
        <v>6</v>
      </c>
      <c r="F35">
        <v>57843487</v>
      </c>
      <c r="G35">
        <v>239344007</v>
      </c>
      <c r="H35">
        <f>F35+G35</f>
        <v>297187494</v>
      </c>
      <c r="I35" s="10">
        <f>H35/(B35*1000000)*1000</f>
        <v>2971.8749400000002</v>
      </c>
    </row>
    <row r="36" ht="14.25">
      <c r="A36" s="8" t="s">
        <v>11</v>
      </c>
      <c r="B36" s="11">
        <v>100</v>
      </c>
      <c r="C36" s="11">
        <v>512</v>
      </c>
      <c r="D36" s="11">
        <v>64</v>
      </c>
      <c r="E36" s="11">
        <v>4</v>
      </c>
      <c r="F36" s="11">
        <v>57336508</v>
      </c>
      <c r="G36">
        <v>228889981</v>
      </c>
      <c r="H36">
        <f>F36+G36</f>
        <v>286226489</v>
      </c>
      <c r="I36" s="10">
        <f>H36/(B36*1000000)*1000</f>
        <v>2862.2648899999999</v>
      </c>
    </row>
    <row r="37" ht="14.25">
      <c r="A37" s="8" t="s">
        <v>11</v>
      </c>
      <c r="B37" s="11">
        <v>100</v>
      </c>
      <c r="C37" s="11">
        <v>512</v>
      </c>
      <c r="D37" s="11">
        <v>64</v>
      </c>
      <c r="E37" s="11">
        <v>2</v>
      </c>
      <c r="F37">
        <v>57336384</v>
      </c>
      <c r="G37">
        <v>417247782</v>
      </c>
      <c r="H37">
        <f>F37+G37</f>
        <v>474584166</v>
      </c>
      <c r="I37" s="10">
        <f>H37/(B37*1000000)*1000</f>
        <v>4745.84166</v>
      </c>
    </row>
    <row r="38" ht="14.25">
      <c r="A38" s="8" t="s">
        <v>11</v>
      </c>
      <c r="B38" s="11">
        <v>100</v>
      </c>
      <c r="C38" s="11">
        <v>512</v>
      </c>
      <c r="D38" s="11">
        <v>56</v>
      </c>
      <c r="E38" s="11">
        <v>8</v>
      </c>
      <c r="F38">
        <v>57335649</v>
      </c>
      <c r="G38">
        <v>137206038</v>
      </c>
      <c r="H38">
        <f>F38+G38</f>
        <v>194541687</v>
      </c>
      <c r="I38" s="10">
        <f>H38/(B38*1000000)*1000</f>
        <v>1945.41687</v>
      </c>
    </row>
    <row r="39" ht="14.25">
      <c r="A39" s="8" t="s">
        <v>11</v>
      </c>
      <c r="B39" s="11">
        <v>100</v>
      </c>
      <c r="C39" s="11">
        <v>512</v>
      </c>
      <c r="D39" s="11">
        <v>56</v>
      </c>
      <c r="E39" s="11">
        <v>6</v>
      </c>
      <c r="F39">
        <v>57845816</v>
      </c>
      <c r="G39">
        <v>224110125</v>
      </c>
      <c r="H39">
        <f>F39+G39</f>
        <v>281955941</v>
      </c>
      <c r="I39" s="10">
        <f>H39/(B39*1000000)*1000</f>
        <v>2819.5594100000003</v>
      </c>
    </row>
    <row r="40" ht="14.25">
      <c r="A40" s="8" t="s">
        <v>11</v>
      </c>
      <c r="B40" s="11">
        <v>100</v>
      </c>
      <c r="C40" s="11">
        <v>512</v>
      </c>
      <c r="D40" s="11">
        <v>56</v>
      </c>
      <c r="E40" s="11">
        <v>4</v>
      </c>
      <c r="F40">
        <v>57335712</v>
      </c>
      <c r="G40">
        <v>234103655</v>
      </c>
      <c r="H40">
        <f>F40+G40</f>
        <v>291439367</v>
      </c>
      <c r="I40" s="10">
        <f>H40/(B40*1000000)*1000</f>
        <v>2914.3936699999999</v>
      </c>
    </row>
    <row r="41" ht="14.25">
      <c r="A41" s="8" t="s">
        <v>11</v>
      </c>
      <c r="B41" s="11">
        <v>100</v>
      </c>
      <c r="C41" s="11">
        <v>512</v>
      </c>
      <c r="D41" s="11">
        <v>56</v>
      </c>
      <c r="E41" s="11">
        <v>2</v>
      </c>
      <c r="F41">
        <v>57335874</v>
      </c>
      <c r="G41">
        <v>428657749</v>
      </c>
      <c r="H41">
        <f>F41+G41</f>
        <v>485993623</v>
      </c>
      <c r="I41" s="10">
        <f>H41/(B41*1000000)*1000</f>
        <v>4859.9362299999993</v>
      </c>
    </row>
    <row r="42" ht="14.25">
      <c r="A42" s="8" t="s">
        <v>11</v>
      </c>
      <c r="B42" s="11">
        <v>100</v>
      </c>
      <c r="C42" s="11">
        <v>384</v>
      </c>
      <c r="D42" s="11">
        <v>64</v>
      </c>
      <c r="E42" s="11">
        <v>8</v>
      </c>
      <c r="F42">
        <v>47539742</v>
      </c>
      <c r="G42">
        <v>124259284</v>
      </c>
      <c r="H42">
        <f>F42+G42</f>
        <v>171799026</v>
      </c>
      <c r="I42" s="10">
        <f>H42/(B42*1000000)*1000</f>
        <v>1717.99026</v>
      </c>
    </row>
    <row r="43" ht="14.25">
      <c r="A43" s="8" t="s">
        <v>11</v>
      </c>
      <c r="B43" s="11">
        <v>100</v>
      </c>
      <c r="C43" s="11">
        <v>384</v>
      </c>
      <c r="D43" s="11">
        <v>64</v>
      </c>
      <c r="E43" s="11">
        <v>6</v>
      </c>
      <c r="F43">
        <v>47539592</v>
      </c>
      <c r="G43">
        <v>238834159</v>
      </c>
      <c r="H43">
        <f>F43+G43</f>
        <v>286373751</v>
      </c>
      <c r="I43" s="10">
        <f>H43/(B43*1000000)*1000</f>
        <v>2863.7375099999999</v>
      </c>
    </row>
    <row r="44" ht="14.25">
      <c r="A44" s="8" t="s">
        <v>11</v>
      </c>
      <c r="B44" s="11">
        <v>100</v>
      </c>
      <c r="C44" s="11">
        <v>384</v>
      </c>
      <c r="D44" s="11">
        <v>64</v>
      </c>
      <c r="E44" s="11">
        <v>4</v>
      </c>
      <c r="F44">
        <v>47541413</v>
      </c>
      <c r="G44">
        <v>227771378</v>
      </c>
      <c r="H44">
        <f>F44+G44</f>
        <v>275312791</v>
      </c>
      <c r="I44" s="10">
        <f>H44/(B44*1000000)*1000</f>
        <v>2753.1279099999997</v>
      </c>
    </row>
    <row r="45" ht="14.25">
      <c r="A45" s="8" t="s">
        <v>11</v>
      </c>
      <c r="B45" s="11">
        <v>100</v>
      </c>
      <c r="C45" s="11">
        <v>384</v>
      </c>
      <c r="D45" s="11">
        <v>64</v>
      </c>
      <c r="E45" s="11">
        <v>2</v>
      </c>
      <c r="F45">
        <v>47540608</v>
      </c>
      <c r="G45">
        <v>414789660</v>
      </c>
      <c r="H45">
        <f>F45+G45</f>
        <v>462330268</v>
      </c>
      <c r="I45" s="10">
        <f>H45/(B45*1000000)*1000</f>
        <v>4623.3026799999998</v>
      </c>
    </row>
    <row r="46" ht="14.25">
      <c r="A46" s="8" t="s">
        <v>11</v>
      </c>
      <c r="B46" s="11">
        <v>100</v>
      </c>
      <c r="C46" s="11">
        <v>384</v>
      </c>
      <c r="D46" s="11">
        <v>56</v>
      </c>
      <c r="E46" s="11">
        <v>8</v>
      </c>
      <c r="F46">
        <v>47539280</v>
      </c>
      <c r="G46">
        <v>139998429</v>
      </c>
      <c r="H46">
        <f>F46+G46</f>
        <v>187537709</v>
      </c>
      <c r="I46" s="10">
        <f>H46/(B46*1000000)*1000</f>
        <v>1875.37709</v>
      </c>
    </row>
    <row r="47" ht="14.25">
      <c r="A47" s="8" t="s">
        <v>11</v>
      </c>
      <c r="B47" s="11">
        <v>100</v>
      </c>
      <c r="C47" s="11">
        <v>384</v>
      </c>
      <c r="D47" s="11">
        <v>56</v>
      </c>
      <c r="E47" s="11">
        <v>6</v>
      </c>
      <c r="F47">
        <v>48037612</v>
      </c>
      <c r="G47">
        <v>223834449</v>
      </c>
      <c r="H47">
        <f>F47+G47</f>
        <v>271872061</v>
      </c>
      <c r="I47" s="10">
        <f>H47/(B47*1000000)*1000</f>
        <v>2718.7206100000003</v>
      </c>
    </row>
    <row r="48" ht="14.25">
      <c r="A48" s="8" t="s">
        <v>11</v>
      </c>
      <c r="B48" s="11">
        <v>100</v>
      </c>
      <c r="C48" s="11">
        <v>384</v>
      </c>
      <c r="D48" s="11">
        <v>56</v>
      </c>
      <c r="E48" s="11">
        <v>4</v>
      </c>
      <c r="F48">
        <v>47538865</v>
      </c>
      <c r="G48">
        <v>235865301</v>
      </c>
      <c r="H48">
        <f>F48+G48</f>
        <v>283404166</v>
      </c>
      <c r="I48" s="10">
        <f>H48/(B48*1000000)*1000</f>
        <v>2834.0416599999999</v>
      </c>
    </row>
    <row r="49" ht="14.25">
      <c r="A49" s="8" t="s">
        <v>11</v>
      </c>
      <c r="B49" s="11">
        <v>100</v>
      </c>
      <c r="C49" s="11">
        <v>384</v>
      </c>
      <c r="D49" s="11">
        <v>56</v>
      </c>
      <c r="E49" s="11">
        <v>2</v>
      </c>
      <c r="F49">
        <v>47540051</v>
      </c>
      <c r="G49">
        <v>426706154</v>
      </c>
      <c r="H49">
        <f>F49+G49</f>
        <v>474246205</v>
      </c>
      <c r="I49" s="10">
        <f>H49/(B49*1000000)*1000</f>
        <v>4742.4620500000001</v>
      </c>
    </row>
    <row r="50" s="2" customFormat="1" ht="14.25">
      <c r="A50" s="3" t="s">
        <v>12</v>
      </c>
      <c r="B50" s="12">
        <v>100</v>
      </c>
      <c r="C50" s="12">
        <v>512</v>
      </c>
      <c r="D50" s="12">
        <v>64</v>
      </c>
      <c r="E50" s="12">
        <v>8</v>
      </c>
      <c r="F50" s="3">
        <v>7171085</v>
      </c>
      <c r="G50" s="3">
        <v>3103478</v>
      </c>
      <c r="H50" s="3">
        <f>F50+G50</f>
        <v>10274563</v>
      </c>
      <c r="I50" s="5">
        <f>H50/(B50*1000000)*1000</f>
        <v>102.74563000000001</v>
      </c>
    </row>
    <row r="51" ht="14.25">
      <c r="A51" s="6" t="s">
        <v>12</v>
      </c>
      <c r="B51" s="12">
        <v>100</v>
      </c>
      <c r="C51" s="12">
        <v>512</v>
      </c>
      <c r="D51" s="12">
        <v>64</v>
      </c>
      <c r="E51" s="12">
        <v>6</v>
      </c>
      <c r="F51" s="3">
        <v>7183885</v>
      </c>
      <c r="G51" s="3">
        <v>4386805</v>
      </c>
      <c r="H51" s="3">
        <f>F51+G51</f>
        <v>11570690</v>
      </c>
      <c r="I51" s="5">
        <f>H51/(B51*1000000)*1000</f>
        <v>115.7069</v>
      </c>
    </row>
    <row r="52" ht="14.25">
      <c r="A52" s="6" t="s">
        <v>12</v>
      </c>
      <c r="B52" s="12">
        <v>100</v>
      </c>
      <c r="C52" s="12">
        <v>512</v>
      </c>
      <c r="D52" s="12">
        <v>64</v>
      </c>
      <c r="E52" s="12">
        <v>4</v>
      </c>
      <c r="F52" s="3">
        <v>7170647</v>
      </c>
      <c r="G52" s="3">
        <v>4401941</v>
      </c>
      <c r="H52" s="3">
        <f>F52+G52</f>
        <v>11572588</v>
      </c>
      <c r="I52" s="5">
        <f>H52/(B52*1000000)*1000</f>
        <v>115.72588</v>
      </c>
    </row>
    <row r="53" ht="14.25">
      <c r="A53" s="6" t="s">
        <v>12</v>
      </c>
      <c r="B53" s="12">
        <v>100</v>
      </c>
      <c r="C53" s="12">
        <v>512</v>
      </c>
      <c r="D53" s="12">
        <v>64</v>
      </c>
      <c r="E53" s="12">
        <v>2</v>
      </c>
      <c r="F53" s="3">
        <v>7170924</v>
      </c>
      <c r="G53" s="3">
        <v>7244093</v>
      </c>
      <c r="H53" s="3">
        <f>F53+G53</f>
        <v>14415017</v>
      </c>
      <c r="I53" s="5">
        <f>H53/(B53*1000000)*1000</f>
        <v>144.15017</v>
      </c>
    </row>
    <row r="54" ht="14.25">
      <c r="A54" s="8" t="s">
        <v>12</v>
      </c>
      <c r="B54" s="11">
        <v>100</v>
      </c>
      <c r="C54" s="11">
        <v>512</v>
      </c>
      <c r="D54" s="11">
        <v>56</v>
      </c>
      <c r="E54" s="11">
        <v>8</v>
      </c>
      <c r="F54">
        <v>7171051</v>
      </c>
      <c r="G54">
        <v>3769788</v>
      </c>
      <c r="H54">
        <f>F54+G54</f>
        <v>10940839</v>
      </c>
      <c r="I54" s="10">
        <f>H54/(B54*1000000)*1000</f>
        <v>109.40839</v>
      </c>
    </row>
    <row r="55" ht="14.25">
      <c r="A55" s="8" t="s">
        <v>12</v>
      </c>
      <c r="B55" s="11">
        <v>100</v>
      </c>
      <c r="C55" s="11">
        <v>512</v>
      </c>
      <c r="D55" s="11">
        <v>56</v>
      </c>
      <c r="E55" s="11">
        <v>6</v>
      </c>
      <c r="F55">
        <v>7184215</v>
      </c>
      <c r="G55">
        <v>5019054</v>
      </c>
      <c r="H55">
        <f>F55+G55</f>
        <v>12203269</v>
      </c>
      <c r="I55" s="10">
        <f>H55/(B55*1000000)*1000</f>
        <v>122.03269</v>
      </c>
    </row>
    <row r="56" ht="14.25">
      <c r="A56" s="8" t="s">
        <v>12</v>
      </c>
      <c r="B56" s="11">
        <v>100</v>
      </c>
      <c r="C56" s="11">
        <v>512</v>
      </c>
      <c r="D56" s="11">
        <v>56</v>
      </c>
      <c r="E56" s="11">
        <v>4</v>
      </c>
      <c r="F56">
        <v>7170989</v>
      </c>
      <c r="G56">
        <v>5067204</v>
      </c>
      <c r="H56">
        <f>F56+G56</f>
        <v>12238193</v>
      </c>
      <c r="I56" s="10">
        <f>H56/(B56*1000000)*1000</f>
        <v>122.38193</v>
      </c>
      <c r="L56">
        <v>102.7</v>
      </c>
      <c r="M56">
        <v>115.7</v>
      </c>
    </row>
    <row r="57" ht="14.25">
      <c r="A57" s="8" t="s">
        <v>12</v>
      </c>
      <c r="B57" s="11">
        <v>100</v>
      </c>
      <c r="C57" s="11">
        <v>512</v>
      </c>
      <c r="D57" s="11">
        <v>56</v>
      </c>
      <c r="E57" s="11">
        <v>2</v>
      </c>
      <c r="F57">
        <v>7170762</v>
      </c>
      <c r="G57">
        <v>8229078</v>
      </c>
      <c r="H57">
        <f>F57+G57</f>
        <v>15399840</v>
      </c>
      <c r="I57" s="10">
        <f>H57/(B57*1000000)*1000</f>
        <v>153.9984</v>
      </c>
      <c r="L57">
        <v>100</v>
      </c>
      <c r="M57">
        <f>L57*M56/L56</f>
        <v>112.65822784810126</v>
      </c>
    </row>
    <row r="58" ht="14.25">
      <c r="A58" s="6" t="s">
        <v>12</v>
      </c>
      <c r="B58" s="12">
        <v>100</v>
      </c>
      <c r="C58" s="12">
        <v>256</v>
      </c>
      <c r="D58" s="12">
        <v>64</v>
      </c>
      <c r="E58" s="12">
        <v>8</v>
      </c>
      <c r="F58" s="3">
        <v>7171085</v>
      </c>
      <c r="G58" s="3">
        <v>3103478</v>
      </c>
      <c r="H58" s="3">
        <f>F58+G58</f>
        <v>10274563</v>
      </c>
      <c r="I58" s="5">
        <f>H58/(B58*1000000)*1000</f>
        <v>102.74563000000001</v>
      </c>
    </row>
    <row r="59" ht="14.25">
      <c r="A59" s="6" t="s">
        <v>12</v>
      </c>
      <c r="B59" s="12">
        <v>100</v>
      </c>
      <c r="C59" s="12">
        <v>256</v>
      </c>
      <c r="D59" s="12">
        <v>64</v>
      </c>
      <c r="E59" s="12">
        <v>6</v>
      </c>
      <c r="F59" s="3">
        <v>7183885</v>
      </c>
      <c r="G59" s="3">
        <v>4386805</v>
      </c>
      <c r="H59" s="3">
        <f>F59+G59</f>
        <v>11570690</v>
      </c>
      <c r="I59" s="5">
        <f>H59/(B59*1000000)*1000</f>
        <v>115.7069</v>
      </c>
    </row>
    <row r="60" s="2" customFormat="1" ht="14.25">
      <c r="A60" s="6" t="s">
        <v>12</v>
      </c>
      <c r="B60" s="12">
        <v>100</v>
      </c>
      <c r="C60" s="12">
        <v>256</v>
      </c>
      <c r="D60" s="12">
        <v>64</v>
      </c>
      <c r="E60" s="12">
        <v>4</v>
      </c>
      <c r="F60" s="3">
        <v>7170647</v>
      </c>
      <c r="G60" s="3">
        <v>4401941</v>
      </c>
      <c r="H60" s="3">
        <f>F60+G60</f>
        <v>11572588</v>
      </c>
      <c r="I60" s="5">
        <f>H60/(B60*1000000)*1000</f>
        <v>115.72588</v>
      </c>
    </row>
    <row r="61" ht="14.25">
      <c r="A61" s="6" t="s">
        <v>12</v>
      </c>
      <c r="B61" s="12">
        <v>100</v>
      </c>
      <c r="C61" s="12">
        <v>256</v>
      </c>
      <c r="D61" s="12">
        <v>64</v>
      </c>
      <c r="E61" s="12">
        <v>2</v>
      </c>
      <c r="F61" s="3">
        <v>7170924</v>
      </c>
      <c r="G61" s="3">
        <v>7244093</v>
      </c>
      <c r="H61" s="3">
        <f>F61+G61</f>
        <v>14415017</v>
      </c>
      <c r="I61" s="5">
        <f>H61/(B61*1000000)*1000</f>
        <v>144.15017</v>
      </c>
    </row>
    <row r="62" ht="14.25">
      <c r="A62" s="8" t="s">
        <v>12</v>
      </c>
      <c r="B62" s="11">
        <v>100</v>
      </c>
      <c r="C62" s="11">
        <v>256</v>
      </c>
      <c r="D62" s="11">
        <v>56</v>
      </c>
      <c r="E62" s="11">
        <v>8</v>
      </c>
      <c r="F62">
        <v>7171051</v>
      </c>
      <c r="G62">
        <v>3769788</v>
      </c>
      <c r="H62">
        <f>F62+G62</f>
        <v>10940839</v>
      </c>
      <c r="I62" s="10">
        <f>H62/(B62*1000000)*1000</f>
        <v>109.40839</v>
      </c>
    </row>
    <row r="63" ht="14.25">
      <c r="A63" s="8" t="s">
        <v>12</v>
      </c>
      <c r="B63" s="11">
        <v>100</v>
      </c>
      <c r="C63" s="11">
        <v>256</v>
      </c>
      <c r="D63" s="11">
        <v>56</v>
      </c>
      <c r="E63" s="11">
        <v>6</v>
      </c>
      <c r="F63">
        <v>7184215</v>
      </c>
      <c r="G63">
        <v>5019054</v>
      </c>
      <c r="H63">
        <f>F63+G63</f>
        <v>12203269</v>
      </c>
      <c r="I63" s="10">
        <f>H63/(B63*1000000)*1000</f>
        <v>122.03269</v>
      </c>
    </row>
    <row r="64" ht="14.25">
      <c r="A64" s="8" t="s">
        <v>12</v>
      </c>
      <c r="B64" s="11">
        <v>100</v>
      </c>
      <c r="C64" s="11">
        <v>256</v>
      </c>
      <c r="D64" s="11">
        <v>56</v>
      </c>
      <c r="E64" s="11">
        <v>4</v>
      </c>
      <c r="F64">
        <v>7170989</v>
      </c>
      <c r="G64">
        <v>5067204</v>
      </c>
      <c r="H64">
        <f>F64+G64</f>
        <v>12238193</v>
      </c>
      <c r="I64" s="10">
        <f>H64/(B64*1000000)*1000</f>
        <v>122.38193</v>
      </c>
    </row>
    <row r="65" ht="14.25">
      <c r="A65" s="8" t="s">
        <v>12</v>
      </c>
      <c r="B65" s="11">
        <v>100</v>
      </c>
      <c r="C65" s="11">
        <v>256</v>
      </c>
      <c r="D65" s="11">
        <v>56</v>
      </c>
      <c r="E65" s="11">
        <v>2</v>
      </c>
      <c r="F65">
        <v>7170762</v>
      </c>
      <c r="G65">
        <v>8229078</v>
      </c>
      <c r="H65">
        <f>F65+G65</f>
        <v>15399840</v>
      </c>
      <c r="I65" s="10">
        <f>H65/(B65*1000000)*1000</f>
        <v>153.9984</v>
      </c>
    </row>
    <row r="66" ht="14.25">
      <c r="A66" s="6" t="s">
        <v>12</v>
      </c>
      <c r="B66" s="12">
        <v>100</v>
      </c>
      <c r="C66" s="12">
        <v>128</v>
      </c>
      <c r="D66" s="12">
        <v>64</v>
      </c>
      <c r="E66" s="12">
        <v>8</v>
      </c>
      <c r="F66" s="3">
        <v>2107691</v>
      </c>
      <c r="G66" s="3">
        <v>3285401</v>
      </c>
      <c r="H66" s="3">
        <f>F66+G66</f>
        <v>5393092</v>
      </c>
      <c r="I66" s="5">
        <f>H66/(B66*1000000)*1000</f>
        <v>53.93092</v>
      </c>
    </row>
    <row r="67" ht="14.25">
      <c r="A67" s="6" t="s">
        <v>12</v>
      </c>
      <c r="B67" s="12">
        <v>100</v>
      </c>
      <c r="C67" s="12">
        <v>128</v>
      </c>
      <c r="D67" s="12">
        <v>64</v>
      </c>
      <c r="E67" s="12">
        <v>6</v>
      </c>
      <c r="F67" s="3">
        <v>2107669</v>
      </c>
      <c r="G67" s="12">
        <v>4784258</v>
      </c>
      <c r="H67" s="3">
        <f>F67+G67</f>
        <v>6891927</v>
      </c>
      <c r="I67" s="5">
        <f>H67/(B67*1000000)*1000</f>
        <v>68.919270000000012</v>
      </c>
    </row>
    <row r="68" ht="14.25">
      <c r="A68" s="6" t="s">
        <v>12</v>
      </c>
      <c r="B68" s="12">
        <v>100</v>
      </c>
      <c r="C68" s="12">
        <v>128</v>
      </c>
      <c r="D68" s="12">
        <v>64</v>
      </c>
      <c r="E68" s="12">
        <v>4</v>
      </c>
      <c r="F68" s="3">
        <v>2107391</v>
      </c>
      <c r="G68" s="3">
        <v>4741152</v>
      </c>
      <c r="H68" s="3">
        <f>F68+G68</f>
        <v>6848543</v>
      </c>
      <c r="I68" s="5">
        <f>H68/(B68*1000000)*1000</f>
        <v>68.485429999999994</v>
      </c>
    </row>
    <row r="69" ht="14.25">
      <c r="A69" s="6" t="s">
        <v>12</v>
      </c>
      <c r="B69" s="12">
        <v>100</v>
      </c>
      <c r="C69" s="12">
        <v>128</v>
      </c>
      <c r="D69" s="12">
        <v>64</v>
      </c>
      <c r="E69" s="12">
        <v>2</v>
      </c>
      <c r="F69" s="3">
        <v>2107469</v>
      </c>
      <c r="G69" s="3">
        <v>6837341</v>
      </c>
      <c r="H69" s="3">
        <f>F69+G69</f>
        <v>8944810</v>
      </c>
      <c r="I69" s="5">
        <f>H69/(B69*1000000)*1000</f>
        <v>89.448099999999997</v>
      </c>
      <c r="K69">
        <f>1.52-0.09</f>
        <v>1.4299999999999999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8.29296875"/>
    <col bestFit="1" min="2" max="2" width="9.94140625"/>
    <col bestFit="1" min="3" max="3" width="6.78125"/>
    <col customWidth="1" hidden="1" min="4" max="4" width="13.90234375"/>
    <col customWidth="1" hidden="1" min="5" max="5" width="15.921875"/>
    <col bestFit="1" min="6" max="6" width="10.203125"/>
  </cols>
  <sheetData>
    <row r="1" ht="14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 ht="14.25">
      <c r="A2" s="3" t="s">
        <v>9</v>
      </c>
      <c r="B2" s="3">
        <v>512</v>
      </c>
      <c r="C2" s="3">
        <v>8</v>
      </c>
      <c r="D2" s="3">
        <v>10754876</v>
      </c>
      <c r="E2" s="3">
        <v>8214121</v>
      </c>
      <c r="F2" s="3">
        <f>D2+E2</f>
        <v>18968997</v>
      </c>
    </row>
    <row r="3" ht="14.25">
      <c r="A3" s="3" t="s">
        <v>9</v>
      </c>
      <c r="B3" s="3">
        <v>512</v>
      </c>
      <c r="C3" s="3">
        <v>6</v>
      </c>
      <c r="D3" s="3">
        <v>10778933</v>
      </c>
      <c r="E3" s="3">
        <v>14619874</v>
      </c>
      <c r="F3" s="3">
        <f>D3+E3</f>
        <v>25398807</v>
      </c>
    </row>
    <row r="4" ht="14.25">
      <c r="A4" s="3" t="s">
        <v>9</v>
      </c>
      <c r="B4" s="3">
        <v>512</v>
      </c>
      <c r="C4" s="3">
        <v>4</v>
      </c>
      <c r="D4" s="3">
        <v>10754800</v>
      </c>
      <c r="E4" s="3">
        <v>14229686</v>
      </c>
      <c r="F4" s="3">
        <f>D4+E4</f>
        <v>24984486</v>
      </c>
    </row>
    <row r="5" ht="14.25">
      <c r="A5" s="3" t="s">
        <v>9</v>
      </c>
      <c r="B5" s="3">
        <v>512</v>
      </c>
      <c r="C5" s="3">
        <v>2</v>
      </c>
      <c r="D5" s="3">
        <v>10754776</v>
      </c>
      <c r="E5" s="3">
        <v>26724534</v>
      </c>
      <c r="F5" s="3">
        <f>D5+E5</f>
        <v>37479310</v>
      </c>
    </row>
    <row r="6" ht="14.25">
      <c r="A6" s="3" t="s">
        <v>9</v>
      </c>
      <c r="B6" s="3">
        <v>256</v>
      </c>
      <c r="C6" s="3">
        <v>8</v>
      </c>
      <c r="D6" s="3">
        <v>6271897</v>
      </c>
      <c r="E6" s="3">
        <v>10472827</v>
      </c>
      <c r="F6" s="3">
        <f>D6+E6</f>
        <v>16744724</v>
      </c>
    </row>
    <row r="7" ht="14.25">
      <c r="A7" s="3" t="s">
        <v>9</v>
      </c>
      <c r="B7" s="3">
        <v>256</v>
      </c>
      <c r="C7" s="3">
        <v>6</v>
      </c>
      <c r="D7" s="3">
        <v>6271758</v>
      </c>
      <c r="E7" s="3">
        <v>17575381</v>
      </c>
      <c r="F7" s="3">
        <f>D7+E7</f>
        <v>23847139</v>
      </c>
    </row>
    <row r="8" ht="14.25">
      <c r="A8" s="3" t="s">
        <v>9</v>
      </c>
      <c r="B8" s="3">
        <v>256</v>
      </c>
      <c r="C8" s="3">
        <v>4</v>
      </c>
      <c r="D8" s="3">
        <v>6271932</v>
      </c>
      <c r="E8" s="3">
        <v>17984199</v>
      </c>
      <c r="F8" s="3">
        <f>D8+E8</f>
        <v>24256131</v>
      </c>
    </row>
    <row r="9" ht="14.25">
      <c r="A9" s="3" t="s">
        <v>9</v>
      </c>
      <c r="B9" s="3">
        <v>256</v>
      </c>
      <c r="C9" s="3">
        <v>2</v>
      </c>
      <c r="D9" s="3">
        <v>6272146</v>
      </c>
      <c r="E9" s="3">
        <v>27978532</v>
      </c>
      <c r="F9" s="3">
        <f>D9+E9</f>
        <v>34250678</v>
      </c>
    </row>
    <row r="10" ht="14.25">
      <c r="A10" s="3" t="s">
        <v>10</v>
      </c>
      <c r="B10" s="12">
        <v>512</v>
      </c>
      <c r="C10" s="12">
        <v>8</v>
      </c>
      <c r="D10" s="3">
        <v>69787852</v>
      </c>
      <c r="E10" s="3">
        <v>59121620</v>
      </c>
      <c r="F10" s="3">
        <f>D10+E10</f>
        <v>128909472</v>
      </c>
    </row>
    <row r="11" ht="14.25">
      <c r="A11" s="3" t="s">
        <v>10</v>
      </c>
      <c r="B11" s="12">
        <v>512</v>
      </c>
      <c r="C11" s="12">
        <v>6</v>
      </c>
      <c r="D11" s="3">
        <v>69786869</v>
      </c>
      <c r="E11" s="3">
        <v>105463031</v>
      </c>
      <c r="F11" s="3">
        <f>D11+E11</f>
        <v>175249900</v>
      </c>
    </row>
    <row r="12" ht="14.25">
      <c r="A12" s="3" t="s">
        <v>10</v>
      </c>
      <c r="B12" s="12">
        <v>512</v>
      </c>
      <c r="C12" s="12">
        <v>4</v>
      </c>
      <c r="D12" s="3">
        <v>69783680</v>
      </c>
      <c r="E12" s="3">
        <v>101851069</v>
      </c>
      <c r="F12" s="3">
        <f>D12+E12</f>
        <v>171634749</v>
      </c>
    </row>
    <row r="13" ht="14.25">
      <c r="A13" s="3" t="s">
        <v>10</v>
      </c>
      <c r="B13" s="12">
        <v>512</v>
      </c>
      <c r="C13" s="12">
        <v>2</v>
      </c>
      <c r="D13" s="3">
        <v>69784920</v>
      </c>
      <c r="E13" s="3">
        <v>176273142</v>
      </c>
      <c r="F13" s="3">
        <f>D13+E13</f>
        <v>246058062</v>
      </c>
    </row>
    <row r="14" ht="14.25">
      <c r="A14" s="3" t="s">
        <v>10</v>
      </c>
      <c r="B14" s="12">
        <v>384</v>
      </c>
      <c r="C14" s="12">
        <v>8</v>
      </c>
      <c r="D14" s="3">
        <v>65068026</v>
      </c>
      <c r="E14" s="3">
        <v>73317833</v>
      </c>
      <c r="F14" s="3">
        <f>D14+E14</f>
        <v>138385859</v>
      </c>
    </row>
    <row r="15" ht="14.25">
      <c r="A15" s="3" t="s">
        <v>10</v>
      </c>
      <c r="B15" s="12">
        <v>384</v>
      </c>
      <c r="C15" s="12">
        <v>6</v>
      </c>
      <c r="D15" s="3">
        <v>65068948</v>
      </c>
      <c r="E15" s="3">
        <v>105957271</v>
      </c>
      <c r="F15" s="3">
        <f>D15+E15</f>
        <v>171026219</v>
      </c>
    </row>
    <row r="16" ht="14.25">
      <c r="A16" s="3" t="s">
        <v>10</v>
      </c>
      <c r="B16" s="12">
        <v>384</v>
      </c>
      <c r="C16" s="12">
        <v>4</v>
      </c>
      <c r="D16" s="3">
        <v>65065914</v>
      </c>
      <c r="E16" s="3">
        <v>114486942</v>
      </c>
      <c r="F16" s="3">
        <f>D16+E16</f>
        <v>179552856</v>
      </c>
    </row>
    <row r="17" ht="14.25">
      <c r="A17" s="3" t="s">
        <v>10</v>
      </c>
      <c r="B17" s="12">
        <v>384</v>
      </c>
      <c r="C17" s="12">
        <v>2</v>
      </c>
      <c r="D17" s="3">
        <v>65066204</v>
      </c>
      <c r="E17" s="3">
        <v>186007528</v>
      </c>
      <c r="F17" s="3">
        <f>D17+E17</f>
        <v>251073732</v>
      </c>
    </row>
    <row r="18" ht="14.25">
      <c r="A18" s="3" t="s">
        <v>12</v>
      </c>
      <c r="B18" s="12">
        <v>512</v>
      </c>
      <c r="C18" s="12">
        <v>8</v>
      </c>
      <c r="D18" s="3">
        <v>7171085</v>
      </c>
      <c r="E18" s="3">
        <v>3103478</v>
      </c>
      <c r="F18" s="3">
        <f>D18+E18</f>
        <v>10274563</v>
      </c>
    </row>
    <row r="19" ht="14.25">
      <c r="A19" s="3" t="s">
        <v>12</v>
      </c>
      <c r="B19" s="12">
        <v>512</v>
      </c>
      <c r="C19" s="12">
        <v>6</v>
      </c>
      <c r="D19" s="3">
        <v>7183885</v>
      </c>
      <c r="E19" s="3">
        <v>4386805</v>
      </c>
      <c r="F19" s="3">
        <f>D19+E19</f>
        <v>11570690</v>
      </c>
    </row>
    <row r="20" ht="14.25">
      <c r="A20" s="3" t="s">
        <v>12</v>
      </c>
      <c r="B20" s="12">
        <v>512</v>
      </c>
      <c r="C20" s="12">
        <v>4</v>
      </c>
      <c r="D20" s="3">
        <v>7170647</v>
      </c>
      <c r="E20" s="3">
        <v>4401941</v>
      </c>
      <c r="F20" s="3">
        <f>D20+E20</f>
        <v>11572588</v>
      </c>
    </row>
    <row r="21" ht="14.25">
      <c r="A21" s="3" t="s">
        <v>12</v>
      </c>
      <c r="B21" s="12">
        <v>512</v>
      </c>
      <c r="C21" s="12">
        <v>2</v>
      </c>
      <c r="D21" s="3">
        <v>7170924</v>
      </c>
      <c r="E21" s="3">
        <v>7244093</v>
      </c>
      <c r="F21" s="3">
        <f>D21+E21</f>
        <v>14415017</v>
      </c>
    </row>
    <row r="22" ht="14.25">
      <c r="A22" s="3" t="s">
        <v>12</v>
      </c>
      <c r="B22" s="12">
        <v>256</v>
      </c>
      <c r="C22" s="12">
        <v>8</v>
      </c>
      <c r="D22" s="3">
        <v>7171085</v>
      </c>
      <c r="E22" s="3">
        <v>3103478</v>
      </c>
      <c r="F22" s="3">
        <f>D22+E22</f>
        <v>10274563</v>
      </c>
    </row>
    <row r="23" ht="14.25">
      <c r="A23" s="3" t="s">
        <v>12</v>
      </c>
      <c r="B23" s="12">
        <v>256</v>
      </c>
      <c r="C23" s="12">
        <v>6</v>
      </c>
      <c r="D23" s="3">
        <v>7183885</v>
      </c>
      <c r="E23" s="3">
        <v>4386805</v>
      </c>
      <c r="F23" s="3">
        <f>D23+E23</f>
        <v>11570690</v>
      </c>
    </row>
    <row r="24" ht="14.25">
      <c r="A24" s="3" t="s">
        <v>12</v>
      </c>
      <c r="B24" s="12">
        <v>256</v>
      </c>
      <c r="C24" s="12">
        <v>4</v>
      </c>
      <c r="D24" s="3">
        <v>7170647</v>
      </c>
      <c r="E24" s="3">
        <v>4401941</v>
      </c>
      <c r="F24" s="3">
        <f>D24+E24</f>
        <v>11572588</v>
      </c>
    </row>
    <row r="25" ht="14.25">
      <c r="A25" s="3" t="s">
        <v>12</v>
      </c>
      <c r="B25" s="12">
        <v>256</v>
      </c>
      <c r="C25" s="12">
        <v>2</v>
      </c>
      <c r="D25" s="3">
        <v>7170924</v>
      </c>
      <c r="E25" s="3">
        <v>7244093</v>
      </c>
      <c r="F25" s="3">
        <f>D25+E25</f>
        <v>14415017</v>
      </c>
    </row>
    <row r="26" ht="14.25">
      <c r="A26" s="3" t="s">
        <v>12</v>
      </c>
      <c r="B26" s="12">
        <v>128</v>
      </c>
      <c r="C26" s="12">
        <v>8</v>
      </c>
      <c r="D26" s="3">
        <v>2107691</v>
      </c>
      <c r="E26" s="3">
        <v>3285401</v>
      </c>
      <c r="F26" s="3">
        <f>D26+E26</f>
        <v>5393092</v>
      </c>
    </row>
    <row r="27" ht="14.25">
      <c r="A27" s="3" t="s">
        <v>12</v>
      </c>
      <c r="B27" s="12">
        <v>128</v>
      </c>
      <c r="C27" s="12">
        <v>6</v>
      </c>
      <c r="D27" s="3">
        <v>2107669</v>
      </c>
      <c r="E27" s="12">
        <v>4784258</v>
      </c>
      <c r="F27" s="3">
        <f>D27+E27</f>
        <v>6891927</v>
      </c>
    </row>
    <row r="28" ht="14.25">
      <c r="A28" s="3" t="s">
        <v>12</v>
      </c>
      <c r="B28" s="12">
        <v>128</v>
      </c>
      <c r="C28" s="12">
        <v>4</v>
      </c>
      <c r="D28" s="3">
        <v>2107391</v>
      </c>
      <c r="E28" s="3">
        <v>4741152</v>
      </c>
      <c r="F28" s="3">
        <f>D28+E28</f>
        <v>6848543</v>
      </c>
    </row>
    <row r="29" ht="14.25">
      <c r="A29" s="3" t="s">
        <v>12</v>
      </c>
      <c r="B29" s="12">
        <v>128</v>
      </c>
      <c r="C29" s="12">
        <v>2</v>
      </c>
      <c r="D29" s="3">
        <v>2107469</v>
      </c>
      <c r="E29" s="3">
        <v>6837341</v>
      </c>
      <c r="F29" s="3">
        <f>D29+E29</f>
        <v>8944810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2025-10-16T07:39:29Z</dcterms:modified>
</cp:coreProperties>
</file>